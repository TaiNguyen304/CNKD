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dmin\Documents\"/>
    </mc:Choice>
  </mc:AlternateContent>
  <xr:revisionPtr revIDLastSave="0" documentId="13_ncr:1_{6CC882A9-7F19-4366-B2B9-E8047682FCA3}" xr6:coauthVersionLast="47" xr6:coauthVersionMax="47" xr10:uidLastSave="{00000000-0000-0000-0000-000000000000}"/>
  <bookViews>
    <workbookView xWindow="-108" yWindow="-108" windowWidth="23256" windowHeight="12456" activeTab="2" xr2:uid="{62AA2469-CBFF-40F1-BCE2-911CAC6C9A0D}"/>
  </bookViews>
  <sheets>
    <sheet name="Đoán nhanh 1" sheetId="10" r:id="rId1"/>
    <sheet name="Đoán nhanh 2" sheetId="11" r:id="rId2"/>
    <sheet name="Vòng 1" sheetId="1" r:id="rId3"/>
    <sheet name="Vòng 2" sheetId="2" r:id="rId4"/>
    <sheet name="Vòng 3" sheetId="4" r:id="rId5"/>
    <sheet name="ĐNLH" sheetId="6" r:id="rId6"/>
    <sheet name="Vòng 4" sheetId="7" r:id="rId7"/>
    <sheet name="Khán giả" sheetId="8" r:id="rId8"/>
    <sheet name="Đặc biệt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5" i="9" l="1"/>
  <c r="A9" i="9"/>
  <c r="A15" i="7"/>
  <c r="A9" i="7"/>
  <c r="A15" i="4"/>
  <c r="A3" i="9"/>
  <c r="A3" i="7"/>
  <c r="A15" i="6"/>
  <c r="A9" i="6"/>
  <c r="A3" i="6"/>
  <c r="A3" i="4"/>
  <c r="A3" i="2"/>
</calcChain>
</file>

<file path=xl/sharedStrings.xml><?xml version="1.0" encoding="utf-8"?>
<sst xmlns="http://schemas.openxmlformats.org/spreadsheetml/2006/main" count="475" uniqueCount="85">
  <si>
    <t>Chủ đề</t>
  </si>
  <si>
    <t>Ô chữ</t>
  </si>
  <si>
    <t>SỰ KIỆN</t>
  </si>
  <si>
    <t>L</t>
  </si>
  <si>
    <t>Ễ</t>
  </si>
  <si>
    <t>H</t>
  </si>
  <si>
    <t>Ộ</t>
  </si>
  <si>
    <t>I</t>
  </si>
  <si>
    <t>K</t>
  </si>
  <si>
    <t>A</t>
  </si>
  <si>
    <t>Ấ</t>
  </si>
  <si>
    <t>N</t>
  </si>
  <si>
    <t>Đ</t>
  </si>
  <si>
    <t>Ề</t>
  </si>
  <si>
    <t>T</t>
  </si>
  <si>
    <t>R</t>
  </si>
  <si>
    <t>Ầ</t>
  </si>
  <si>
    <t>KHOA HỌC - CÔNG NGHỆ</t>
  </si>
  <si>
    <t>D</t>
  </si>
  <si>
    <t>Ò</t>
  </si>
  <si>
    <t>G</t>
  </si>
  <si>
    <t>Ệ</t>
  </si>
  <si>
    <t>Ô</t>
  </si>
  <si>
    <t>Ổ</t>
  </si>
  <si>
    <t>ÂM NHẠC</t>
  </si>
  <si>
    <t>C</t>
  </si>
  <si>
    <t>Y</t>
  </si>
  <si>
    <t>Ê</t>
  </si>
  <si>
    <t>U</t>
  </si>
  <si>
    <t>ĐỊA ĐIỂM</t>
  </si>
  <si>
    <t>Ị</t>
  </si>
  <si>
    <t>Ạ</t>
  </si>
  <si>
    <t>O</t>
  </si>
  <si>
    <t>V</t>
  </si>
  <si>
    <t>M</t>
  </si>
  <si>
    <t>Ố</t>
  </si>
  <si>
    <t>LỊCH SỬ</t>
  </si>
  <si>
    <t>B</t>
  </si>
  <si>
    <t>Ả</t>
  </si>
  <si>
    <t>À</t>
  </si>
  <si>
    <t>S</t>
  </si>
  <si>
    <t>Ử</t>
  </si>
  <si>
    <t>TRUYỀN HÌNH</t>
  </si>
  <si>
    <t>Ứ</t>
  </si>
  <si>
    <t>Á</t>
  </si>
  <si>
    <t>Â</t>
  </si>
  <si>
    <t>Ư</t>
  </si>
  <si>
    <t>Ờ</t>
  </si>
  <si>
    <t>Ế</t>
  </si>
  <si>
    <t>Ắ</t>
  </si>
  <si>
    <t>NHÂN VẬT</t>
  </si>
  <si>
    <t>Ẻ</t>
  </si>
  <si>
    <t>Ủ</t>
  </si>
  <si>
    <t>THƠ</t>
  </si>
  <si>
    <t>X</t>
  </si>
  <si>
    <t>E</t>
  </si>
  <si>
    <t>Q</t>
  </si>
  <si>
    <t>P</t>
  </si>
  <si>
    <t>ĐÂY LÀ TÊN CỦA MỘT LỄ HỘI?</t>
  </si>
  <si>
    <t>ĐÂY LÀ 1 KHÁI NIỆM TRONG VẬT LÝ?</t>
  </si>
  <si>
    <t xml:space="preserve">ĐÂY LÀ 1 CA KHÚC DO NỮ CA SĨ BẢO ANH TRÌNH BÀY VỚI NAM RAPPER PHÚC DU? </t>
  </si>
  <si>
    <t>Ù</t>
  </si>
  <si>
    <t>THÀNH NGỮ - TỤC NGỮ</t>
  </si>
  <si>
    <t>ĐÂY LÀ MỘT CÂU TỤC NGỮ?</t>
  </si>
  <si>
    <t>ĐÂY LÀ MỘT DIA DIÊM NÊN GHÉ THĂM KHI TỚI PHỐ CỔ HỘI AN (ĐÀ NẴNG)?</t>
  </si>
  <si>
    <t>Ó</t>
  </si>
  <si>
    <t>ĐÂY LÀ TÊN MỘT CA KHÚC ĐÂY SÂU LẮNG CỦA NAM CA SĨ VƯƠNG BÌNH KẾT HỢP CÙNG VỚI NỮ CA SĨ LÂM BẢO NGỌC?</t>
  </si>
  <si>
    <t>Ì</t>
  </si>
  <si>
    <t>CÂU NÓI</t>
  </si>
  <si>
    <t>ĐÂY LÀ MỘT CÂU NÓI NỔI TIẾNG CỦA NHÀ VĂN NGƯỜI NHẬT HARUKI MURAKAMI?</t>
  </si>
  <si>
    <t>Ọ</t>
  </si>
  <si>
    <t>Ẽ</t>
  </si>
  <si>
    <t>Ú</t>
  </si>
  <si>
    <t>Ớ</t>
  </si>
  <si>
    <t>ẨM THỰC</t>
  </si>
  <si>
    <t>ĐÂY LÀ MỘT MÓN ĂN HẤP DẪN MÀ BẠN KHÔNG THỂ BỎ QUA KHI ĐẾN KHU VỰC ĐỒNG BẰNG SÔNG CỬU LONG?</t>
  </si>
  <si>
    <t>Ẩ</t>
  </si>
  <si>
    <t>Ể</t>
  </si>
  <si>
    <t>Ỳ</t>
  </si>
  <si>
    <t>THIÊN NHIÊN</t>
  </si>
  <si>
    <t>Ỏ</t>
  </si>
  <si>
    <t>VĂN HÓA</t>
  </si>
  <si>
    <t>Ă</t>
  </si>
  <si>
    <t>Đây là lễ hội được tổ chức tại Thủ đô Hà Nội?</t>
  </si>
  <si>
    <t>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</si>
</sst>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color theme="1"/>
      <name val="Noto Sans Black"/>
      <family val="2"/>
    </font>
    <font>
      <b/>
      <sz val="10"/>
      <color theme="1"/>
      <name val="Noto Sans Black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C69E6-5AE7-4432-A893-2B2CF3A886B4}">
  <dimension ref="A1:Q5"/>
  <sheetViews>
    <sheetView workbookViewId="0">
      <selection activeCell="A4" sqref="A4"/>
    </sheetView>
  </sheetViews>
  <sheetFormatPr defaultRowHeight="14.4" x14ac:dyDescent="0.3"/>
  <cols>
    <col min="1" max="1" width="20.77734375" customWidth="1"/>
  </cols>
  <sheetData>
    <row r="1" spans="1:17" ht="33" x14ac:dyDescent="0.9">
      <c r="A1" s="1" t="s">
        <v>0</v>
      </c>
      <c r="B1" s="5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7"/>
    </row>
    <row r="2" spans="1:17" ht="33" x14ac:dyDescent="0.9">
      <c r="A2" s="8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ht="33" x14ac:dyDescent="0.9">
      <c r="A3" s="9" t="s">
        <v>58</v>
      </c>
      <c r="B3" s="3"/>
      <c r="C3" s="3" t="s">
        <v>3</v>
      </c>
      <c r="D3" s="3" t="s">
        <v>4</v>
      </c>
      <c r="E3" s="3"/>
      <c r="F3" s="3" t="s">
        <v>5</v>
      </c>
      <c r="G3" s="3" t="s">
        <v>6</v>
      </c>
      <c r="H3" s="3" t="s">
        <v>7</v>
      </c>
      <c r="I3" s="3"/>
      <c r="J3" s="3" t="s">
        <v>8</v>
      </c>
      <c r="K3" s="3" t="s">
        <v>5</v>
      </c>
      <c r="L3" s="3" t="s">
        <v>9</v>
      </c>
      <c r="M3" s="3" t="s">
        <v>7</v>
      </c>
      <c r="N3" s="3"/>
      <c r="O3" s="3" t="s">
        <v>10</v>
      </c>
      <c r="P3" s="3" t="s">
        <v>11</v>
      </c>
      <c r="Q3" s="3"/>
    </row>
    <row r="4" spans="1:17" ht="33" x14ac:dyDescent="0.9">
      <c r="A4" s="2"/>
      <c r="B4" s="3"/>
      <c r="C4" s="3"/>
      <c r="D4" s="3"/>
      <c r="E4" s="3"/>
      <c r="F4" s="3" t="s">
        <v>12</v>
      </c>
      <c r="G4" s="3" t="s">
        <v>13</v>
      </c>
      <c r="H4" s="3" t="s">
        <v>11</v>
      </c>
      <c r="I4" s="3"/>
      <c r="J4" s="3" t="s">
        <v>14</v>
      </c>
      <c r="K4" s="3" t="s">
        <v>15</v>
      </c>
      <c r="L4" s="3" t="s">
        <v>16</v>
      </c>
      <c r="M4" s="3" t="s">
        <v>11</v>
      </c>
      <c r="N4" s="3"/>
      <c r="O4" s="3"/>
      <c r="P4" s="3"/>
      <c r="Q4" s="3"/>
    </row>
    <row r="5" spans="1:17" ht="33" x14ac:dyDescent="0.9">
      <c r="A5" s="4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</sheetData>
  <mergeCells count="1">
    <mergeCell ref="B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531F8-45F5-4364-9548-CA956C3EF5DD}">
  <dimension ref="A1:Q5"/>
  <sheetViews>
    <sheetView workbookViewId="0">
      <selection activeCell="A4" sqref="A4"/>
    </sheetView>
  </sheetViews>
  <sheetFormatPr defaultRowHeight="14.4" x14ac:dyDescent="0.3"/>
  <cols>
    <col min="1" max="1" width="20.77734375" customWidth="1"/>
  </cols>
  <sheetData>
    <row r="1" spans="1:17" ht="33" x14ac:dyDescent="0.9">
      <c r="A1" s="1" t="s">
        <v>0</v>
      </c>
      <c r="B1" s="5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7"/>
    </row>
    <row r="2" spans="1:17" ht="33" x14ac:dyDescent="0.9">
      <c r="A2" s="9" t="s">
        <v>17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ht="33" x14ac:dyDescent="0.9">
      <c r="A3" s="9" t="s">
        <v>59</v>
      </c>
      <c r="B3" s="3"/>
      <c r="C3" s="3"/>
      <c r="D3" s="3"/>
      <c r="E3" s="3" t="s">
        <v>18</v>
      </c>
      <c r="F3" s="3" t="s">
        <v>19</v>
      </c>
      <c r="G3" s="3" t="s">
        <v>11</v>
      </c>
      <c r="H3" s="3" t="s">
        <v>20</v>
      </c>
      <c r="I3" s="3"/>
      <c r="J3" s="3" t="s">
        <v>12</v>
      </c>
      <c r="K3" s="3" t="s">
        <v>7</v>
      </c>
      <c r="L3" s="3" t="s">
        <v>21</v>
      </c>
      <c r="M3" s="3" t="s">
        <v>11</v>
      </c>
      <c r="N3" s="3"/>
      <c r="O3" s="3"/>
      <c r="P3" s="3"/>
      <c r="Q3" s="3"/>
    </row>
    <row r="4" spans="1:17" ht="33" x14ac:dyDescent="0.9">
      <c r="A4" s="8"/>
      <c r="B4" s="3"/>
      <c r="C4" s="3"/>
      <c r="D4" s="3"/>
      <c r="E4" s="3" t="s">
        <v>8</v>
      </c>
      <c r="F4" s="3" t="s">
        <v>5</v>
      </c>
      <c r="G4" s="3" t="s">
        <v>22</v>
      </c>
      <c r="H4" s="3" t="s">
        <v>11</v>
      </c>
      <c r="I4" s="3" t="s">
        <v>20</v>
      </c>
      <c r="J4" s="3"/>
      <c r="K4" s="3" t="s">
        <v>12</v>
      </c>
      <c r="L4" s="3" t="s">
        <v>23</v>
      </c>
      <c r="M4" s="3" t="s">
        <v>7</v>
      </c>
      <c r="N4" s="3"/>
      <c r="O4" s="3"/>
      <c r="P4" s="3"/>
      <c r="Q4" s="3"/>
    </row>
    <row r="5" spans="1:17" ht="33" x14ac:dyDescent="0.9">
      <c r="A5" s="10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</sheetData>
  <mergeCells count="1">
    <mergeCell ref="B1: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6D7A1-4DAE-4555-AE02-E4B4114B58E0}">
  <dimension ref="A1:Q29"/>
  <sheetViews>
    <sheetView tabSelected="1" workbookViewId="0">
      <selection activeCell="A20" sqref="A20"/>
    </sheetView>
  </sheetViews>
  <sheetFormatPr defaultRowHeight="14.4" x14ac:dyDescent="0.3"/>
  <cols>
    <col min="1" max="1" width="20.77734375" customWidth="1"/>
  </cols>
  <sheetData>
    <row r="1" spans="1:17" ht="33" x14ac:dyDescent="0.9">
      <c r="A1" s="1" t="s">
        <v>0</v>
      </c>
      <c r="B1" s="5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7"/>
    </row>
    <row r="2" spans="1:17" ht="33" x14ac:dyDescent="0.9">
      <c r="A2" s="8" t="s">
        <v>24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ht="33" x14ac:dyDescent="0.9">
      <c r="A3" s="9" t="s">
        <v>60</v>
      </c>
      <c r="B3" s="3"/>
      <c r="C3" s="3"/>
      <c r="D3" s="3" t="s">
        <v>25</v>
      </c>
      <c r="E3" s="3" t="s">
        <v>22</v>
      </c>
      <c r="F3" s="3"/>
      <c r="G3" s="3" t="s">
        <v>10</v>
      </c>
      <c r="H3" s="3" t="s">
        <v>26</v>
      </c>
      <c r="I3" s="3"/>
      <c r="J3" s="3" t="s">
        <v>8</v>
      </c>
      <c r="K3" s="3" t="s">
        <v>5</v>
      </c>
      <c r="L3" s="3" t="s">
        <v>22</v>
      </c>
      <c r="M3" s="3" t="s">
        <v>11</v>
      </c>
      <c r="N3" s="3" t="s">
        <v>20</v>
      </c>
      <c r="O3" s="3"/>
      <c r="P3" s="3"/>
      <c r="Q3" s="3"/>
    </row>
    <row r="4" spans="1:17" ht="33" x14ac:dyDescent="0.9">
      <c r="A4" s="8"/>
      <c r="B4" s="3"/>
      <c r="C4" s="3"/>
      <c r="D4" s="3"/>
      <c r="E4" s="3"/>
      <c r="F4" s="3" t="s">
        <v>26</v>
      </c>
      <c r="G4" s="3" t="s">
        <v>27</v>
      </c>
      <c r="H4" s="3" t="s">
        <v>28</v>
      </c>
      <c r="I4" s="3"/>
      <c r="J4" s="3" t="s">
        <v>9</v>
      </c>
      <c r="K4" s="3" t="s">
        <v>11</v>
      </c>
      <c r="L4" s="3" t="s">
        <v>5</v>
      </c>
      <c r="M4" s="3"/>
      <c r="N4" s="3"/>
      <c r="O4" s="3"/>
      <c r="P4" s="3"/>
      <c r="Q4" s="3"/>
    </row>
    <row r="5" spans="1:17" ht="33" x14ac:dyDescent="0.9">
      <c r="A5" s="10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7" spans="1:17" ht="33" x14ac:dyDescent="0.9">
      <c r="A7" s="1" t="s">
        <v>0</v>
      </c>
      <c r="B7" s="5" t="s">
        <v>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7"/>
    </row>
    <row r="8" spans="1:17" ht="33" x14ac:dyDescent="0.9">
      <c r="A8" s="8" t="s">
        <v>29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ht="33" x14ac:dyDescent="0.9">
      <c r="A9" s="9" t="s">
        <v>64</v>
      </c>
      <c r="B9" s="3"/>
      <c r="C9" s="3"/>
      <c r="D9" s="3"/>
      <c r="E9" s="3"/>
      <c r="F9" s="3"/>
      <c r="G9" s="3" t="s">
        <v>11</v>
      </c>
      <c r="H9" s="3" t="s">
        <v>5</v>
      </c>
      <c r="I9" s="3" t="s">
        <v>39</v>
      </c>
      <c r="J9" s="3"/>
      <c r="K9" s="3" t="s">
        <v>25</v>
      </c>
      <c r="L9" s="3" t="s">
        <v>23</v>
      </c>
      <c r="M9" s="3"/>
      <c r="N9" s="3"/>
      <c r="O9" s="3"/>
      <c r="P9" s="3"/>
      <c r="Q9" s="3"/>
    </row>
    <row r="10" spans="1:17" ht="33" x14ac:dyDescent="0.9">
      <c r="A10" s="8"/>
      <c r="B10" s="3"/>
      <c r="C10" s="3"/>
      <c r="D10" s="3"/>
      <c r="E10" s="3" t="s">
        <v>57</v>
      </c>
      <c r="F10" s="3" t="s">
        <v>5</v>
      </c>
      <c r="G10" s="3" t="s">
        <v>61</v>
      </c>
      <c r="H10" s="3" t="s">
        <v>11</v>
      </c>
      <c r="I10" s="3" t="s">
        <v>20</v>
      </c>
      <c r="J10" s="3"/>
      <c r="K10" s="3" t="s">
        <v>5</v>
      </c>
      <c r="L10" s="3" t="s">
        <v>46</v>
      </c>
      <c r="M10" s="3" t="s">
        <v>11</v>
      </c>
      <c r="N10" s="3" t="s">
        <v>20</v>
      </c>
      <c r="O10" s="3"/>
      <c r="P10" s="3"/>
      <c r="Q10" s="3"/>
    </row>
    <row r="11" spans="1:17" ht="33" x14ac:dyDescent="0.9">
      <c r="A11" s="10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3" spans="1:17" ht="33" x14ac:dyDescent="0.9">
      <c r="A13" s="1" t="s">
        <v>0</v>
      </c>
      <c r="B13" s="5" t="s">
        <v>1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7"/>
    </row>
    <row r="14" spans="1:17" ht="33" x14ac:dyDescent="0.9">
      <c r="A14" s="9" t="s">
        <v>62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ht="33" x14ac:dyDescent="0.9">
      <c r="A15" s="9" t="s">
        <v>63</v>
      </c>
      <c r="B15" s="3"/>
      <c r="C15" s="3"/>
      <c r="D15" s="3" t="s">
        <v>37</v>
      </c>
      <c r="E15" s="3" t="s">
        <v>28</v>
      </c>
      <c r="F15" s="3" t="s">
        <v>22</v>
      </c>
      <c r="G15" s="3" t="s">
        <v>11</v>
      </c>
      <c r="H15" s="3"/>
      <c r="I15" s="3" t="s">
        <v>25</v>
      </c>
      <c r="J15" s="3" t="s">
        <v>65</v>
      </c>
      <c r="K15" s="3"/>
      <c r="L15" s="3" t="s">
        <v>37</v>
      </c>
      <c r="M15" s="3" t="s">
        <v>31</v>
      </c>
      <c r="N15" s="3" t="s">
        <v>11</v>
      </c>
      <c r="O15" s="3"/>
      <c r="P15" s="3"/>
      <c r="Q15" s="3"/>
    </row>
    <row r="16" spans="1:17" ht="33" x14ac:dyDescent="0.9">
      <c r="A16" s="8"/>
      <c r="B16" s="3"/>
      <c r="C16" s="3" t="s">
        <v>37</v>
      </c>
      <c r="D16" s="3" t="s">
        <v>44</v>
      </c>
      <c r="E16" s="3" t="s">
        <v>11</v>
      </c>
      <c r="F16" s="3"/>
      <c r="G16" s="3" t="s">
        <v>25</v>
      </c>
      <c r="H16" s="3" t="s">
        <v>65</v>
      </c>
      <c r="I16" s="3"/>
      <c r="J16" s="3" t="s">
        <v>57</v>
      </c>
      <c r="K16" s="3" t="s">
        <v>5</v>
      </c>
      <c r="L16" s="3" t="s">
        <v>46</v>
      </c>
      <c r="M16" s="3" t="s">
        <v>47</v>
      </c>
      <c r="N16" s="3" t="s">
        <v>11</v>
      </c>
      <c r="O16" s="3" t="s">
        <v>20</v>
      </c>
      <c r="P16" s="3"/>
      <c r="Q16" s="3"/>
    </row>
    <row r="17" spans="1:17" ht="33" x14ac:dyDescent="0.9">
      <c r="A17" s="10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9" spans="1:17" ht="33" x14ac:dyDescent="0.9">
      <c r="A19" s="1"/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7"/>
    </row>
    <row r="20" spans="1:17" ht="33" x14ac:dyDescent="0.9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ht="33" x14ac:dyDescent="0.9">
      <c r="A21" s="9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ht="33" x14ac:dyDescent="0.9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ht="33" x14ac:dyDescent="0.9">
      <c r="A23" s="10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5" spans="1:17" ht="33" x14ac:dyDescent="0.9">
      <c r="A25" s="1"/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7"/>
    </row>
    <row r="26" spans="1:17" ht="33" x14ac:dyDescent="0.9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 ht="33" x14ac:dyDescent="0.9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 ht="33" x14ac:dyDescent="0.9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7" ht="33" x14ac:dyDescent="0.9">
      <c r="A29" s="10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</sheetData>
  <mergeCells count="5">
    <mergeCell ref="B1:Q1"/>
    <mergeCell ref="B7:Q7"/>
    <mergeCell ref="B13:Q13"/>
    <mergeCell ref="B19:Q19"/>
    <mergeCell ref="B25:Q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D69E8-98CF-4DE9-A59F-D226D96117D7}">
  <dimension ref="A1:Q29"/>
  <sheetViews>
    <sheetView topLeftCell="A10" workbookViewId="0">
      <selection activeCell="O16" sqref="O16"/>
    </sheetView>
  </sheetViews>
  <sheetFormatPr defaultRowHeight="14.4" x14ac:dyDescent="0.3"/>
  <cols>
    <col min="1" max="1" width="20.77734375" customWidth="1"/>
  </cols>
  <sheetData>
    <row r="1" spans="1:17" ht="33" x14ac:dyDescent="0.9">
      <c r="A1" s="1" t="s">
        <v>0</v>
      </c>
      <c r="B1" s="5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7"/>
    </row>
    <row r="2" spans="1:17" ht="33" x14ac:dyDescent="0.9">
      <c r="A2" s="8" t="s">
        <v>29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ht="33" x14ac:dyDescent="0.9">
      <c r="A3" s="9" t="str">
        <f>UPPER("Đây là một công trình quân sự &amp; dân sự nổi tiếng ở tỉnh Quảng Trị?")</f>
        <v>ĐÂY LÀ MỘT CÔNG TRÌNH QUÂN SỰ &amp; DÂN SỰ NỔI TIẾNG Ở TỈNH QUẢNG TRỊ?</v>
      </c>
      <c r="B3" s="3" t="s">
        <v>12</v>
      </c>
      <c r="C3" s="3" t="s">
        <v>30</v>
      </c>
      <c r="D3" s="3" t="s">
        <v>9</v>
      </c>
      <c r="E3" s="3"/>
      <c r="F3" s="3" t="s">
        <v>12</v>
      </c>
      <c r="G3" s="3" t="s">
        <v>31</v>
      </c>
      <c r="H3" s="3" t="s">
        <v>32</v>
      </c>
      <c r="I3" s="3"/>
      <c r="J3" s="3" t="s">
        <v>33</v>
      </c>
      <c r="K3" s="3" t="s">
        <v>30</v>
      </c>
      <c r="L3" s="3" t="s">
        <v>11</v>
      </c>
      <c r="M3" s="3" t="s">
        <v>5</v>
      </c>
      <c r="N3" s="3"/>
      <c r="O3" s="3" t="s">
        <v>34</v>
      </c>
      <c r="P3" s="3" t="s">
        <v>35</v>
      </c>
      <c r="Q3" s="3" t="s">
        <v>25</v>
      </c>
    </row>
    <row r="4" spans="1:17" ht="33" x14ac:dyDescent="0.9">
      <c r="A4" s="8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ht="33" x14ac:dyDescent="0.9">
      <c r="A5" s="10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7" spans="1:17" ht="33" x14ac:dyDescent="0.9">
      <c r="A7" s="1" t="s">
        <v>0</v>
      </c>
      <c r="B7" s="5" t="s">
        <v>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7"/>
    </row>
    <row r="8" spans="1:17" ht="33" x14ac:dyDescent="0.9">
      <c r="A8" s="8" t="s">
        <v>24</v>
      </c>
      <c r="B8" s="3"/>
      <c r="C8" s="3"/>
      <c r="D8" s="3"/>
      <c r="E8" s="3" t="s">
        <v>8</v>
      </c>
      <c r="F8" s="3" t="s">
        <v>5</v>
      </c>
      <c r="G8" s="3" t="s">
        <v>22</v>
      </c>
      <c r="H8" s="3" t="s">
        <v>11</v>
      </c>
      <c r="I8" s="3" t="s">
        <v>20</v>
      </c>
      <c r="J8" s="3"/>
      <c r="K8" s="3" t="s">
        <v>37</v>
      </c>
      <c r="L8" s="3" t="s">
        <v>7</v>
      </c>
      <c r="M8" s="3" t="s">
        <v>48</v>
      </c>
      <c r="N8" s="3" t="s">
        <v>14</v>
      </c>
      <c r="O8" s="3"/>
      <c r="P8" s="3"/>
      <c r="Q8" s="3"/>
    </row>
    <row r="9" spans="1:17" ht="33" x14ac:dyDescent="0.9">
      <c r="A9" s="9" t="s">
        <v>66</v>
      </c>
      <c r="B9" s="3"/>
      <c r="C9" s="3"/>
      <c r="D9" s="3" t="s">
        <v>57</v>
      </c>
      <c r="E9" s="3" t="s">
        <v>5</v>
      </c>
      <c r="F9" s="3" t="s">
        <v>38</v>
      </c>
      <c r="G9" s="3" t="s">
        <v>7</v>
      </c>
      <c r="H9" s="3"/>
      <c r="I9" s="3" t="s">
        <v>11</v>
      </c>
      <c r="J9" s="3" t="s">
        <v>65</v>
      </c>
      <c r="K9" s="3" t="s">
        <v>7</v>
      </c>
      <c r="L9" s="3"/>
      <c r="M9" s="3" t="s">
        <v>20</v>
      </c>
      <c r="N9" s="3" t="s">
        <v>67</v>
      </c>
      <c r="O9" s="3"/>
      <c r="P9" s="3"/>
      <c r="Q9" s="3"/>
    </row>
    <row r="10" spans="1:17" ht="33" x14ac:dyDescent="0.9">
      <c r="A10" s="8"/>
      <c r="B10" s="3"/>
      <c r="C10" s="3"/>
      <c r="D10" s="3"/>
      <c r="E10" s="3" t="s">
        <v>8</v>
      </c>
      <c r="F10" s="3" t="s">
        <v>5</v>
      </c>
      <c r="G10" s="3" t="s">
        <v>22</v>
      </c>
      <c r="H10" s="3" t="s">
        <v>11</v>
      </c>
      <c r="I10" s="3" t="s">
        <v>20</v>
      </c>
      <c r="J10" s="3"/>
      <c r="K10" s="3" t="s">
        <v>37</v>
      </c>
      <c r="L10" s="3" t="s">
        <v>7</v>
      </c>
      <c r="M10" s="3" t="s">
        <v>48</v>
      </c>
      <c r="N10" s="3" t="s">
        <v>14</v>
      </c>
      <c r="O10" s="3"/>
      <c r="P10" s="3"/>
      <c r="Q10" s="3"/>
    </row>
    <row r="11" spans="1:17" ht="33" x14ac:dyDescent="0.9">
      <c r="A11" s="10"/>
      <c r="B11" s="3"/>
      <c r="C11" s="3"/>
      <c r="D11" s="3" t="s">
        <v>57</v>
      </c>
      <c r="E11" s="3" t="s">
        <v>5</v>
      </c>
      <c r="F11" s="3" t="s">
        <v>38</v>
      </c>
      <c r="G11" s="3" t="s">
        <v>7</v>
      </c>
      <c r="H11" s="3"/>
      <c r="I11" s="3" t="s">
        <v>3</v>
      </c>
      <c r="J11" s="3" t="s">
        <v>39</v>
      </c>
      <c r="K11" s="3" t="s">
        <v>34</v>
      </c>
      <c r="L11" s="3"/>
      <c r="M11" s="3" t="s">
        <v>40</v>
      </c>
      <c r="N11" s="3" t="s">
        <v>9</v>
      </c>
      <c r="O11" s="3" t="s">
        <v>32</v>
      </c>
      <c r="P11" s="3"/>
      <c r="Q11" s="3"/>
    </row>
    <row r="13" spans="1:17" ht="33" x14ac:dyDescent="0.9">
      <c r="A13" s="1" t="s">
        <v>0</v>
      </c>
      <c r="B13" s="5" t="s">
        <v>1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7"/>
    </row>
    <row r="14" spans="1:17" ht="33" x14ac:dyDescent="0.9">
      <c r="A14" s="8" t="s">
        <v>68</v>
      </c>
      <c r="B14" s="3"/>
      <c r="C14" s="3"/>
      <c r="D14" s="3" t="s">
        <v>34</v>
      </c>
      <c r="E14" s="3" t="s">
        <v>70</v>
      </c>
      <c r="F14" s="3" t="s">
        <v>7</v>
      </c>
      <c r="G14" s="3"/>
      <c r="H14" s="3" t="s">
        <v>14</v>
      </c>
      <c r="I14" s="3" t="s">
        <v>5</v>
      </c>
      <c r="J14" s="3" t="s">
        <v>43</v>
      </c>
      <c r="K14" s="3"/>
      <c r="L14" s="3" t="s">
        <v>37</v>
      </c>
      <c r="M14" s="3" t="s">
        <v>31</v>
      </c>
      <c r="N14" s="3" t="s">
        <v>11</v>
      </c>
      <c r="O14" s="3"/>
      <c r="P14" s="3"/>
      <c r="Q14" s="3"/>
    </row>
    <row r="15" spans="1:17" ht="33" x14ac:dyDescent="0.9">
      <c r="A15" s="9" t="s">
        <v>69</v>
      </c>
      <c r="B15" s="3" t="s">
        <v>14</v>
      </c>
      <c r="C15" s="3" t="s">
        <v>67</v>
      </c>
      <c r="D15" s="3" t="s">
        <v>34</v>
      </c>
      <c r="E15" s="3"/>
      <c r="F15" s="3" t="s">
        <v>8</v>
      </c>
      <c r="G15" s="3" t="s">
        <v>7</v>
      </c>
      <c r="H15" s="3" t="s">
        <v>48</v>
      </c>
      <c r="I15" s="3" t="s">
        <v>34</v>
      </c>
      <c r="J15" s="3"/>
      <c r="K15" s="3" t="s">
        <v>40</v>
      </c>
      <c r="L15" s="3" t="s">
        <v>71</v>
      </c>
      <c r="M15" s="3"/>
      <c r="N15" s="3" t="s">
        <v>12</v>
      </c>
      <c r="O15" s="3" t="s">
        <v>48</v>
      </c>
      <c r="P15" s="3" t="s">
        <v>11</v>
      </c>
      <c r="Q15" s="3"/>
    </row>
    <row r="16" spans="1:17" ht="33" x14ac:dyDescent="0.9">
      <c r="A16" s="8"/>
      <c r="B16" s="3"/>
      <c r="C16" s="3"/>
      <c r="D16" s="3" t="s">
        <v>33</v>
      </c>
      <c r="E16" s="3" t="s">
        <v>39</v>
      </c>
      <c r="F16" s="3" t="s">
        <v>32</v>
      </c>
      <c r="G16" s="3"/>
      <c r="H16" s="3" t="s">
        <v>3</v>
      </c>
      <c r="I16" s="3" t="s">
        <v>72</v>
      </c>
      <c r="J16" s="3" t="s">
        <v>25</v>
      </c>
      <c r="K16" s="3"/>
      <c r="L16" s="3" t="s">
        <v>37</v>
      </c>
      <c r="M16" s="3" t="s">
        <v>31</v>
      </c>
      <c r="N16" s="3" t="s">
        <v>11</v>
      </c>
      <c r="O16" s="3"/>
      <c r="P16" s="3"/>
      <c r="Q16" s="3"/>
    </row>
    <row r="17" spans="1:17" ht="33" x14ac:dyDescent="0.9">
      <c r="A17" s="10"/>
      <c r="B17" s="3"/>
      <c r="C17" s="3" t="s">
        <v>8</v>
      </c>
      <c r="D17" s="3" t="s">
        <v>5</v>
      </c>
      <c r="E17" s="3" t="s">
        <v>22</v>
      </c>
      <c r="F17" s="3" t="s">
        <v>11</v>
      </c>
      <c r="G17" s="3" t="s">
        <v>20</v>
      </c>
      <c r="H17" s="3"/>
      <c r="I17" s="3" t="s">
        <v>11</v>
      </c>
      <c r="J17" s="3" t="s">
        <v>20</v>
      </c>
      <c r="K17" s="3" t="s">
        <v>47</v>
      </c>
      <c r="L17" s="3"/>
      <c r="M17" s="3" t="s">
        <v>14</v>
      </c>
      <c r="N17" s="3" t="s">
        <v>73</v>
      </c>
      <c r="O17" s="3" t="s">
        <v>7</v>
      </c>
      <c r="P17" s="3"/>
      <c r="Q17" s="3"/>
    </row>
    <row r="19" spans="1:17" ht="33" x14ac:dyDescent="0.9">
      <c r="A19" s="1"/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7"/>
    </row>
    <row r="20" spans="1:17" ht="33" x14ac:dyDescent="0.9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ht="33" x14ac:dyDescent="0.9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ht="33" x14ac:dyDescent="0.9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ht="33" x14ac:dyDescent="0.9">
      <c r="A23" s="10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5" spans="1:17" ht="33" x14ac:dyDescent="0.9">
      <c r="A25" s="1"/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7"/>
    </row>
    <row r="26" spans="1:17" ht="33" x14ac:dyDescent="0.9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 ht="33" x14ac:dyDescent="0.9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 ht="33" x14ac:dyDescent="0.9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7" ht="33" x14ac:dyDescent="0.9">
      <c r="A29" s="10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</sheetData>
  <mergeCells count="5">
    <mergeCell ref="B1:Q1"/>
    <mergeCell ref="B7:Q7"/>
    <mergeCell ref="B13:Q13"/>
    <mergeCell ref="B19:Q19"/>
    <mergeCell ref="B25:Q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CCCD1-CC81-472B-AC6F-43B5B79F9B10}">
  <dimension ref="A1:Q17"/>
  <sheetViews>
    <sheetView workbookViewId="0">
      <selection activeCell="M16" sqref="M16"/>
    </sheetView>
  </sheetViews>
  <sheetFormatPr defaultRowHeight="14.4" x14ac:dyDescent="0.3"/>
  <cols>
    <col min="1" max="1" width="20.77734375" customWidth="1"/>
  </cols>
  <sheetData>
    <row r="1" spans="1:17" ht="33" x14ac:dyDescent="0.9">
      <c r="A1" s="1" t="s">
        <v>0</v>
      </c>
      <c r="B1" s="5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7"/>
    </row>
    <row r="2" spans="1:17" ht="33" x14ac:dyDescent="0.9">
      <c r="A2" s="8" t="s">
        <v>36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ht="33" x14ac:dyDescent="0.9">
      <c r="A3" s="9" t="str">
        <f>UPPER("Đây là nơi lưu giữ các kỷ vật về Chủ tịch Hồ Chí Minh tại Pháp?")</f>
        <v>ĐÂY LÀ NƠI LƯU GIỮ CÁC KỶ VẬT VỀ CHỦ TỊCH HỒ CHÍ MINH TẠI PHÁP?</v>
      </c>
      <c r="B3" s="3"/>
      <c r="C3" s="3"/>
      <c r="D3" s="3"/>
      <c r="E3" s="3"/>
      <c r="F3" s="3" t="s">
        <v>37</v>
      </c>
      <c r="G3" s="3" t="s">
        <v>38</v>
      </c>
      <c r="H3" s="3" t="s">
        <v>32</v>
      </c>
      <c r="I3" s="3"/>
      <c r="J3" s="3" t="s">
        <v>14</v>
      </c>
      <c r="K3" s="3" t="s">
        <v>39</v>
      </c>
      <c r="L3" s="3" t="s">
        <v>11</v>
      </c>
      <c r="M3" s="3" t="s">
        <v>20</v>
      </c>
      <c r="N3" s="3"/>
      <c r="O3" s="3"/>
      <c r="P3" s="3"/>
      <c r="Q3" s="3"/>
    </row>
    <row r="4" spans="1:17" ht="33" x14ac:dyDescent="0.9">
      <c r="A4" s="8"/>
      <c r="B4" s="3"/>
      <c r="C4" s="3"/>
      <c r="D4" s="3" t="s">
        <v>3</v>
      </c>
      <c r="E4" s="3" t="s">
        <v>30</v>
      </c>
      <c r="F4" s="3" t="s">
        <v>25</v>
      </c>
      <c r="G4" s="3" t="s">
        <v>5</v>
      </c>
      <c r="H4" s="3"/>
      <c r="I4" s="3" t="s">
        <v>40</v>
      </c>
      <c r="J4" s="3" t="s">
        <v>41</v>
      </c>
      <c r="K4" s="3"/>
      <c r="L4" s="3" t="s">
        <v>40</v>
      </c>
      <c r="M4" s="3" t="s">
        <v>35</v>
      </c>
      <c r="N4" s="3" t="s">
        <v>11</v>
      </c>
      <c r="O4" s="3" t="s">
        <v>20</v>
      </c>
      <c r="P4" s="3"/>
      <c r="Q4" s="3"/>
    </row>
    <row r="5" spans="1:17" ht="33" x14ac:dyDescent="0.9">
      <c r="A5" s="10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7" spans="1:17" ht="33" x14ac:dyDescent="0.9">
      <c r="A7" s="1" t="s">
        <v>0</v>
      </c>
      <c r="B7" s="5" t="s">
        <v>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7"/>
    </row>
    <row r="8" spans="1:17" ht="33" x14ac:dyDescent="0.9">
      <c r="A8" s="8" t="s">
        <v>74</v>
      </c>
      <c r="B8" s="3"/>
      <c r="C8" s="3"/>
      <c r="D8" s="3" t="s">
        <v>3</v>
      </c>
      <c r="E8" s="3" t="s">
        <v>76</v>
      </c>
      <c r="F8" s="3" t="s">
        <v>28</v>
      </c>
      <c r="G8" s="3"/>
      <c r="H8" s="3" t="s">
        <v>25</v>
      </c>
      <c r="I8" s="3" t="s">
        <v>44</v>
      </c>
      <c r="J8" s="3"/>
      <c r="K8" s="3" t="s">
        <v>3</v>
      </c>
      <c r="L8" s="3" t="s">
        <v>7</v>
      </c>
      <c r="M8" s="3" t="s">
        <v>11</v>
      </c>
      <c r="N8" s="3" t="s">
        <v>5</v>
      </c>
      <c r="O8" s="3"/>
      <c r="P8" s="3"/>
      <c r="Q8" s="3"/>
    </row>
    <row r="9" spans="1:17" ht="33" x14ac:dyDescent="0.9">
      <c r="A9" s="9" t="s">
        <v>75</v>
      </c>
      <c r="B9" s="3"/>
      <c r="C9" s="3" t="s">
        <v>37</v>
      </c>
      <c r="D9" s="3" t="s">
        <v>22</v>
      </c>
      <c r="E9" s="3" t="s">
        <v>11</v>
      </c>
      <c r="F9" s="3" t="s">
        <v>20</v>
      </c>
      <c r="G9" s="3"/>
      <c r="H9" s="3" t="s">
        <v>12</v>
      </c>
      <c r="I9" s="3" t="s">
        <v>7</v>
      </c>
      <c r="J9" s="3" t="s">
        <v>27</v>
      </c>
      <c r="K9" s="3" t="s">
        <v>11</v>
      </c>
      <c r="L9" s="3"/>
      <c r="M9" s="3" t="s">
        <v>12</v>
      </c>
      <c r="N9" s="3" t="s">
        <v>7</v>
      </c>
      <c r="O9" s="3" t="s">
        <v>77</v>
      </c>
      <c r="P9" s="3" t="s">
        <v>11</v>
      </c>
      <c r="Q9" s="3"/>
    </row>
    <row r="10" spans="1:17" ht="33" x14ac:dyDescent="0.9">
      <c r="A10" s="8"/>
      <c r="B10" s="3"/>
      <c r="C10" s="3"/>
      <c r="D10" s="3" t="s">
        <v>34</v>
      </c>
      <c r="E10" s="3" t="s">
        <v>61</v>
      </c>
      <c r="F10" s="3" t="s">
        <v>9</v>
      </c>
      <c r="G10" s="3"/>
      <c r="H10" s="3" t="s">
        <v>11</v>
      </c>
      <c r="I10" s="3" t="s">
        <v>46</v>
      </c>
      <c r="J10" s="3" t="s">
        <v>73</v>
      </c>
      <c r="K10" s="3" t="s">
        <v>25</v>
      </c>
      <c r="L10" s="3"/>
      <c r="M10" s="3" t="s">
        <v>11</v>
      </c>
      <c r="N10" s="3" t="s">
        <v>23</v>
      </c>
      <c r="O10" s="3" t="s">
        <v>7</v>
      </c>
      <c r="P10" s="3"/>
      <c r="Q10" s="3"/>
    </row>
    <row r="11" spans="1:17" ht="33" x14ac:dyDescent="0.9">
      <c r="A11" s="10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3" spans="1:17" ht="33" x14ac:dyDescent="0.9">
      <c r="A13" s="1" t="s">
        <v>0</v>
      </c>
      <c r="B13" s="5" t="s">
        <v>1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7"/>
    </row>
    <row r="14" spans="1:17" ht="33" x14ac:dyDescent="0.9">
      <c r="A14" s="9" t="s">
        <v>62</v>
      </c>
      <c r="B14" s="3"/>
      <c r="C14" s="3"/>
      <c r="D14" s="3"/>
      <c r="E14" s="3"/>
      <c r="F14" s="3" t="s">
        <v>14</v>
      </c>
      <c r="G14" s="3" t="s">
        <v>5</v>
      </c>
      <c r="H14" s="3" t="s">
        <v>43</v>
      </c>
      <c r="I14" s="3"/>
      <c r="J14" s="3" t="s">
        <v>11</v>
      </c>
      <c r="K14" s="3" t="s">
        <v>5</v>
      </c>
      <c r="L14" s="3" t="s">
        <v>10</v>
      </c>
      <c r="M14" s="3" t="s">
        <v>14</v>
      </c>
      <c r="N14" s="3"/>
      <c r="O14" s="3"/>
      <c r="P14" s="3"/>
      <c r="Q14" s="3"/>
    </row>
    <row r="15" spans="1:17" ht="33" x14ac:dyDescent="0.9">
      <c r="A15" s="9" t="str">
        <f>UPPER("Đây là một câu tục ngữ nói về phong tục của người Việt Nam mỗi dịp giao thừa?")</f>
        <v>ĐÂY LÀ MỘT CÂU TỤC NGỮ NÓI VỀ PHONG TỤC CỦA NGƯỜI VIỆT NAM MỖI DỊP GIAO THỪA?</v>
      </c>
      <c r="B15" s="3"/>
      <c r="C15" s="3"/>
      <c r="D15" s="3"/>
      <c r="E15" s="3"/>
      <c r="F15" s="3" t="s">
        <v>11</v>
      </c>
      <c r="G15" s="3" t="s">
        <v>27</v>
      </c>
      <c r="H15" s="3" t="s">
        <v>28</v>
      </c>
      <c r="I15" s="3"/>
      <c r="J15" s="3" t="s">
        <v>25</v>
      </c>
      <c r="K15" s="3" t="s">
        <v>9</v>
      </c>
      <c r="L15" s="3" t="s">
        <v>32</v>
      </c>
      <c r="M15" s="3"/>
      <c r="N15" s="3"/>
      <c r="O15" s="3"/>
      <c r="P15" s="3"/>
      <c r="Q15" s="3"/>
    </row>
    <row r="16" spans="1:17" ht="33" x14ac:dyDescent="0.9">
      <c r="A16" s="8"/>
      <c r="B16" s="3"/>
      <c r="C16" s="3"/>
      <c r="D16" s="3"/>
      <c r="E16" s="3"/>
      <c r="F16" s="3" t="s">
        <v>14</v>
      </c>
      <c r="G16" s="3" t="s">
        <v>5</v>
      </c>
      <c r="H16" s="3" t="s">
        <v>43</v>
      </c>
      <c r="I16" s="3"/>
      <c r="J16" s="3" t="s">
        <v>11</v>
      </c>
      <c r="K16" s="3" t="s">
        <v>5</v>
      </c>
      <c r="L16" s="3" t="s">
        <v>67</v>
      </c>
      <c r="M16" s="3"/>
      <c r="N16" s="3"/>
      <c r="O16" s="3"/>
      <c r="P16" s="3"/>
      <c r="Q16" s="3"/>
    </row>
    <row r="17" spans="1:17" ht="33" x14ac:dyDescent="0.9">
      <c r="A17" s="10"/>
      <c r="B17" s="3"/>
      <c r="C17" s="3"/>
      <c r="D17" s="3"/>
      <c r="E17" s="3"/>
      <c r="F17" s="3" t="s">
        <v>57</v>
      </c>
      <c r="G17" s="3" t="s">
        <v>5</v>
      </c>
      <c r="H17" s="3" t="s">
        <v>44</v>
      </c>
      <c r="I17" s="3" t="s">
        <v>32</v>
      </c>
      <c r="J17" s="3"/>
      <c r="K17" s="3" t="s">
        <v>8</v>
      </c>
      <c r="L17" s="3" t="s">
        <v>27</v>
      </c>
      <c r="M17" s="3" t="s">
        <v>28</v>
      </c>
      <c r="N17" s="3"/>
      <c r="O17" s="3"/>
      <c r="P17" s="3"/>
      <c r="Q17" s="3"/>
    </row>
  </sheetData>
  <mergeCells count="3">
    <mergeCell ref="B1:Q1"/>
    <mergeCell ref="B7:Q7"/>
    <mergeCell ref="B13:Q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ECA87-9821-42E5-BAD9-99DBC74E1A29}">
  <dimension ref="A1:Q17"/>
  <sheetViews>
    <sheetView workbookViewId="0">
      <selection activeCell="A16" sqref="A16"/>
    </sheetView>
  </sheetViews>
  <sheetFormatPr defaultRowHeight="14.4" x14ac:dyDescent="0.3"/>
  <cols>
    <col min="1" max="1" width="20.77734375" customWidth="1"/>
  </cols>
  <sheetData>
    <row r="1" spans="1:17" ht="33" x14ac:dyDescent="0.9">
      <c r="A1" s="1" t="s">
        <v>0</v>
      </c>
      <c r="B1" s="5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7"/>
    </row>
    <row r="2" spans="1:17" ht="33" x14ac:dyDescent="0.9">
      <c r="A2" s="8" t="s">
        <v>42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ht="33" x14ac:dyDescent="0.9">
      <c r="A3" s="9" t="str">
        <f>UPPER("Đây là tên của 1 chương trình truyền hình?")</f>
        <v>ĐÂY LÀ TÊN CỦA 1 CHƯƠNG TRÌNH TRUYỀN HÌNH?</v>
      </c>
      <c r="B3" s="3"/>
      <c r="C3" s="3"/>
      <c r="D3" s="3"/>
      <c r="E3" s="3"/>
      <c r="F3" s="3" t="s">
        <v>12</v>
      </c>
      <c r="G3" s="3" t="s">
        <v>7</v>
      </c>
      <c r="H3" s="3" t="s">
        <v>21</v>
      </c>
      <c r="I3" s="3" t="s">
        <v>11</v>
      </c>
      <c r="J3" s="3"/>
      <c r="K3" s="3" t="s">
        <v>38</v>
      </c>
      <c r="L3" s="3" t="s">
        <v>11</v>
      </c>
      <c r="M3" s="3" t="s">
        <v>5</v>
      </c>
      <c r="N3" s="3"/>
      <c r="O3" s="3"/>
      <c r="P3" s="3"/>
      <c r="Q3" s="3"/>
    </row>
    <row r="4" spans="1:17" ht="33" x14ac:dyDescent="0.9">
      <c r="A4" s="8"/>
      <c r="B4" s="3"/>
      <c r="C4" s="3" t="s">
        <v>25</v>
      </c>
      <c r="D4" s="3" t="s">
        <v>5</v>
      </c>
      <c r="E4" s="3" t="s">
        <v>7</v>
      </c>
      <c r="F4" s="3" t="s">
        <v>13</v>
      </c>
      <c r="G4" s="3" t="s">
        <v>28</v>
      </c>
      <c r="H4" s="3"/>
      <c r="I4" s="3" t="s">
        <v>14</v>
      </c>
      <c r="J4" s="3" t="s">
        <v>5</v>
      </c>
      <c r="K4" s="3" t="s">
        <v>43</v>
      </c>
      <c r="L4" s="3"/>
      <c r="M4" s="3" t="s">
        <v>37</v>
      </c>
      <c r="N4" s="3" t="s">
        <v>38</v>
      </c>
      <c r="O4" s="3" t="s">
        <v>26</v>
      </c>
      <c r="P4" s="3"/>
      <c r="Q4" s="3"/>
    </row>
    <row r="5" spans="1:17" ht="33" x14ac:dyDescent="0.9">
      <c r="A5" s="10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7" spans="1:17" ht="33" x14ac:dyDescent="0.9">
      <c r="A7" s="1" t="s">
        <v>0</v>
      </c>
      <c r="B7" s="5" t="s">
        <v>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7"/>
    </row>
    <row r="8" spans="1:17" ht="33" x14ac:dyDescent="0.9">
      <c r="A8" s="8" t="s">
        <v>42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ht="33" x14ac:dyDescent="0.9">
      <c r="A9" s="9" t="str">
        <f>UPPER("Đây là tên của 1 chương trình truyền hình?")</f>
        <v>ĐÂY LÀ TÊN CỦA 1 CHƯƠNG TRÌNH TRUYỀN HÌNH?</v>
      </c>
      <c r="B9" s="3"/>
      <c r="C9" s="3"/>
      <c r="D9" s="3"/>
      <c r="E9" s="3" t="s">
        <v>14</v>
      </c>
      <c r="F9" s="3" t="s">
        <v>5</v>
      </c>
      <c r="G9" s="3" t="s">
        <v>41</v>
      </c>
      <c r="H9" s="3"/>
      <c r="I9" s="3" t="s">
        <v>14</v>
      </c>
      <c r="J9" s="3" t="s">
        <v>5</v>
      </c>
      <c r="K9" s="3" t="s">
        <v>44</v>
      </c>
      <c r="L9" s="3" t="s">
        <v>25</v>
      </c>
      <c r="M9" s="3" t="s">
        <v>5</v>
      </c>
      <c r="N9" s="3"/>
      <c r="O9" s="3"/>
      <c r="P9" s="3"/>
      <c r="Q9" s="3"/>
    </row>
    <row r="10" spans="1:17" ht="33" x14ac:dyDescent="0.9">
      <c r="A10" s="8"/>
      <c r="B10" s="3"/>
      <c r="C10" s="3"/>
      <c r="D10" s="3"/>
      <c r="E10" s="3"/>
      <c r="F10" s="3" t="s">
        <v>11</v>
      </c>
      <c r="G10" s="3" t="s">
        <v>5</v>
      </c>
      <c r="H10" s="3" t="s">
        <v>45</v>
      </c>
      <c r="I10" s="3" t="s">
        <v>11</v>
      </c>
      <c r="J10" s="3"/>
      <c r="K10" s="3" t="s">
        <v>12</v>
      </c>
      <c r="L10" s="3" t="s">
        <v>22</v>
      </c>
      <c r="M10" s="3" t="s">
        <v>7</v>
      </c>
      <c r="N10" s="3"/>
      <c r="O10" s="3"/>
      <c r="P10" s="3"/>
      <c r="Q10" s="3"/>
    </row>
    <row r="11" spans="1:17" ht="33" x14ac:dyDescent="0.9">
      <c r="A11" s="10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3" spans="1:17" ht="33" x14ac:dyDescent="0.9">
      <c r="A13" s="1" t="s">
        <v>0</v>
      </c>
      <c r="B13" s="5" t="s">
        <v>1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7"/>
    </row>
    <row r="14" spans="1:17" ht="33" x14ac:dyDescent="0.9">
      <c r="A14" s="8" t="s">
        <v>42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ht="33" x14ac:dyDescent="0.9">
      <c r="A15" s="9" t="str">
        <f>UPPER("Đây là tên của 1 chương trình truyền hình?")</f>
        <v>ĐÂY LÀ TÊN CỦA 1 CHƯƠNG TRÌNH TRUYỀN HÌNH?</v>
      </c>
      <c r="B15" s="3"/>
      <c r="C15" s="3"/>
      <c r="D15" s="3" t="s">
        <v>14</v>
      </c>
      <c r="E15" s="3" t="s">
        <v>22</v>
      </c>
      <c r="F15" s="3" t="s">
        <v>7</v>
      </c>
      <c r="G15" s="3"/>
      <c r="H15" s="3" t="s">
        <v>3</v>
      </c>
      <c r="I15" s="3" t="s">
        <v>39</v>
      </c>
      <c r="J15" s="3"/>
      <c r="K15" s="3" t="s">
        <v>11</v>
      </c>
      <c r="L15" s="3" t="s">
        <v>20</v>
      </c>
      <c r="M15" s="3" t="s">
        <v>46</v>
      </c>
      <c r="N15" s="3" t="s">
        <v>47</v>
      </c>
      <c r="O15" s="3" t="s">
        <v>7</v>
      </c>
      <c r="P15" s="3"/>
      <c r="Q15" s="3"/>
    </row>
    <row r="16" spans="1:17" ht="33" x14ac:dyDescent="0.9">
      <c r="A16" s="8"/>
      <c r="B16" s="3"/>
      <c r="C16" s="3"/>
      <c r="D16" s="3" t="s">
        <v>25</v>
      </c>
      <c r="E16" s="3" t="s">
        <v>5</v>
      </c>
      <c r="F16" s="3" t="s">
        <v>7</v>
      </c>
      <c r="G16" s="3" t="s">
        <v>48</v>
      </c>
      <c r="H16" s="3" t="s">
        <v>11</v>
      </c>
      <c r="I16" s="3"/>
      <c r="J16" s="3" t="s">
        <v>14</v>
      </c>
      <c r="K16" s="3" t="s">
        <v>5</v>
      </c>
      <c r="L16" s="3" t="s">
        <v>49</v>
      </c>
      <c r="M16" s="3" t="s">
        <v>11</v>
      </c>
      <c r="N16" s="3" t="s">
        <v>20</v>
      </c>
      <c r="O16" s="3"/>
      <c r="P16" s="3"/>
      <c r="Q16" s="3"/>
    </row>
    <row r="17" spans="1:17" ht="33" x14ac:dyDescent="0.9">
      <c r="A17" s="10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</sheetData>
  <mergeCells count="3">
    <mergeCell ref="B1:Q1"/>
    <mergeCell ref="B7:Q7"/>
    <mergeCell ref="B13:Q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4282A-5ADB-4BA2-9A20-71559F20A80C}">
  <dimension ref="A1:Q29"/>
  <sheetViews>
    <sheetView topLeftCell="A13" workbookViewId="0">
      <selection activeCell="N14" sqref="N14"/>
    </sheetView>
  </sheetViews>
  <sheetFormatPr defaultRowHeight="14.4" x14ac:dyDescent="0.3"/>
  <cols>
    <col min="1" max="1" width="20.77734375" customWidth="1"/>
  </cols>
  <sheetData>
    <row r="1" spans="1:17" ht="33" x14ac:dyDescent="0.9">
      <c r="A1" s="1" t="s">
        <v>0</v>
      </c>
      <c r="B1" s="5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7"/>
    </row>
    <row r="2" spans="1:17" ht="33" x14ac:dyDescent="0.9">
      <c r="A2" s="8" t="s">
        <v>50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ht="33" x14ac:dyDescent="0.9">
      <c r="A3" s="9" t="str">
        <f>UPPER("Trong bộ phim hoạt hình nổi tiếng Phineas &amp; Ferb, điệp viên P (thú mỏ vịt Perry) từng chiến đấu chống lại nhân vật này?")</f>
        <v>TRONG BỘ PHIM HOẠT HÌNH NỔI TIẾNG PHINEAS &amp; FERB, ĐIỆP VIÊN P (THÚ MỎ VỊT PERRY) TỪNG CHIẾN ĐẤU CHỐNG LẠI NHÂN VẬT NÀY?</v>
      </c>
      <c r="B3" s="3"/>
      <c r="C3" s="3"/>
      <c r="D3" s="3" t="s">
        <v>8</v>
      </c>
      <c r="E3" s="3" t="s">
        <v>51</v>
      </c>
      <c r="F3" s="3"/>
      <c r="G3" s="3" t="s">
        <v>11</v>
      </c>
      <c r="H3" s="3" t="s">
        <v>5</v>
      </c>
      <c r="I3" s="3" t="s">
        <v>9</v>
      </c>
      <c r="J3" s="3" t="s">
        <v>7</v>
      </c>
      <c r="K3" s="3"/>
      <c r="L3" s="3" t="s">
        <v>3</v>
      </c>
      <c r="M3" s="3" t="s">
        <v>31</v>
      </c>
      <c r="N3" s="3" t="s">
        <v>7</v>
      </c>
      <c r="O3" s="3"/>
      <c r="P3" s="3"/>
      <c r="Q3" s="3"/>
    </row>
    <row r="4" spans="1:17" ht="33" x14ac:dyDescent="0.9">
      <c r="A4" s="8"/>
      <c r="B4" s="3"/>
      <c r="C4" s="3"/>
      <c r="D4" s="3"/>
      <c r="E4" s="3"/>
      <c r="F4" s="3" t="s">
        <v>5</v>
      </c>
      <c r="G4" s="3" t="s">
        <v>52</v>
      </c>
      <c r="H4" s="3" t="s">
        <v>26</v>
      </c>
      <c r="I4" s="3"/>
      <c r="J4" s="3" t="s">
        <v>18</v>
      </c>
      <c r="K4" s="3" t="s">
        <v>7</v>
      </c>
      <c r="L4" s="3" t="s">
        <v>21</v>
      </c>
      <c r="M4" s="3" t="s">
        <v>14</v>
      </c>
      <c r="N4" s="3"/>
      <c r="O4" s="3"/>
      <c r="P4" s="3"/>
      <c r="Q4" s="3"/>
    </row>
    <row r="5" spans="1:17" ht="33" x14ac:dyDescent="0.9">
      <c r="A5" s="10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7" spans="1:17" ht="33" x14ac:dyDescent="0.9">
      <c r="A7" s="1" t="s">
        <v>0</v>
      </c>
      <c r="B7" s="5" t="s">
        <v>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7"/>
    </row>
    <row r="8" spans="1:17" ht="33" x14ac:dyDescent="0.9">
      <c r="A8" s="8" t="s">
        <v>74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ht="33" x14ac:dyDescent="0.9">
      <c r="A9" s="9" t="str">
        <f>UPPER("Đây là tên một món ăn được nhiều gia đình ưa chuộng vào dịp Tết tại Trung Quốc?")</f>
        <v>ĐÂY LÀ TÊN MỘT MÓN ĂN ĐƯỢC NHIỀU GIA ĐÌNH ƯA CHUỘNG VÀO DỊP TẾT TẠI TRUNG QUỐC?</v>
      </c>
      <c r="B9" s="3"/>
      <c r="C9" s="3" t="s">
        <v>34</v>
      </c>
      <c r="D9" s="3" t="s">
        <v>78</v>
      </c>
      <c r="E9" s="3"/>
      <c r="F9" s="3" t="s">
        <v>14</v>
      </c>
      <c r="G9" s="3" t="s">
        <v>15</v>
      </c>
      <c r="H9" s="3" t="s">
        <v>46</v>
      </c>
      <c r="I9" s="3" t="s">
        <v>47</v>
      </c>
      <c r="J9" s="3" t="s">
        <v>11</v>
      </c>
      <c r="K9" s="3" t="s">
        <v>20</v>
      </c>
      <c r="L9" s="3"/>
      <c r="M9" s="3" t="s">
        <v>14</v>
      </c>
      <c r="N9" s="3" t="s">
        <v>5</v>
      </c>
      <c r="O9" s="3" t="s">
        <v>70</v>
      </c>
      <c r="P9" s="3"/>
      <c r="Q9" s="3"/>
    </row>
    <row r="10" spans="1:17" ht="33" x14ac:dyDescent="0.9">
      <c r="A10" s="8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ht="33" x14ac:dyDescent="0.9">
      <c r="A11" s="10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3" spans="1:17" ht="33" x14ac:dyDescent="0.9">
      <c r="A13" s="1" t="s">
        <v>0</v>
      </c>
      <c r="B13" s="5" t="s">
        <v>1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7"/>
    </row>
    <row r="14" spans="1:17" ht="33" x14ac:dyDescent="0.9">
      <c r="A14" s="8" t="s">
        <v>79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ht="33" x14ac:dyDescent="0.9">
      <c r="A15" s="9" t="str">
        <f>UPPER("Đây là tên gọi khác của hoa đào rừng?")</f>
        <v>ĐÂY LÀ TÊN GỌI KHÁC CỦA HOA ĐÀO RỪNG?</v>
      </c>
      <c r="B15" s="3"/>
      <c r="C15" s="3"/>
      <c r="D15" s="3"/>
      <c r="E15" s="3" t="s">
        <v>5</v>
      </c>
      <c r="F15" s="3" t="s">
        <v>32</v>
      </c>
      <c r="G15" s="3" t="s">
        <v>9</v>
      </c>
      <c r="H15" s="3"/>
      <c r="I15" s="3" t="s">
        <v>14</v>
      </c>
      <c r="J15" s="3" t="s">
        <v>73</v>
      </c>
      <c r="K15" s="3"/>
      <c r="L15" s="3" t="s">
        <v>18</v>
      </c>
      <c r="M15" s="3" t="s">
        <v>39</v>
      </c>
      <c r="N15" s="3" t="s">
        <v>26</v>
      </c>
      <c r="O15" s="3"/>
      <c r="P15" s="3"/>
      <c r="Q15" s="3"/>
    </row>
    <row r="16" spans="1:17" ht="33" x14ac:dyDescent="0.9">
      <c r="A16" s="8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ht="33" x14ac:dyDescent="0.9">
      <c r="A17" s="10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9" spans="1:17" ht="33" x14ac:dyDescent="0.9">
      <c r="A19" s="1"/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7"/>
    </row>
    <row r="20" spans="1:17" ht="33" x14ac:dyDescent="0.9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ht="33" x14ac:dyDescent="0.9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ht="33" x14ac:dyDescent="0.9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ht="33" x14ac:dyDescent="0.9">
      <c r="A23" s="10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5" spans="1:17" ht="33" x14ac:dyDescent="0.9">
      <c r="A25" s="1"/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7"/>
    </row>
    <row r="26" spans="1:17" ht="33" x14ac:dyDescent="0.9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 ht="33" x14ac:dyDescent="0.9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 ht="33" x14ac:dyDescent="0.9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7" ht="33" x14ac:dyDescent="0.9">
      <c r="A29" s="10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</sheetData>
  <mergeCells count="5">
    <mergeCell ref="B1:Q1"/>
    <mergeCell ref="B7:Q7"/>
    <mergeCell ref="B13:Q13"/>
    <mergeCell ref="B19:Q19"/>
    <mergeCell ref="B25:Q2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F6F0D-8686-4723-96C7-8E588A73EC86}">
  <dimension ref="A1:Q17"/>
  <sheetViews>
    <sheetView topLeftCell="A7" workbookViewId="0">
      <selection activeCell="N3" sqref="N3"/>
    </sheetView>
  </sheetViews>
  <sheetFormatPr defaultRowHeight="14.4" x14ac:dyDescent="0.3"/>
  <cols>
    <col min="1" max="1" width="20.77734375" customWidth="1"/>
  </cols>
  <sheetData>
    <row r="1" spans="1:17" ht="33" x14ac:dyDescent="0.9">
      <c r="A1" s="1" t="s">
        <v>0</v>
      </c>
      <c r="B1" s="5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7"/>
    </row>
    <row r="2" spans="1:17" ht="33" x14ac:dyDescent="0.9">
      <c r="A2" s="8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ht="33" x14ac:dyDescent="0.9">
      <c r="A3" s="9" t="s">
        <v>83</v>
      </c>
      <c r="B3" s="3"/>
      <c r="C3" s="3"/>
      <c r="D3" s="3"/>
      <c r="E3" s="3"/>
      <c r="F3" s="3"/>
      <c r="G3" s="3" t="s">
        <v>3</v>
      </c>
      <c r="H3" s="3" t="s">
        <v>4</v>
      </c>
      <c r="I3" s="3"/>
      <c r="J3" s="3" t="s">
        <v>5</v>
      </c>
      <c r="K3" s="3" t="s">
        <v>6</v>
      </c>
      <c r="L3" s="3" t="s">
        <v>7</v>
      </c>
      <c r="M3" s="3"/>
      <c r="N3" s="3"/>
      <c r="O3" s="3"/>
      <c r="P3" s="3"/>
      <c r="Q3" s="3"/>
    </row>
    <row r="4" spans="1:17" ht="33" x14ac:dyDescent="0.9">
      <c r="A4" s="8"/>
      <c r="B4" s="3"/>
      <c r="C4" s="3"/>
      <c r="D4" s="3"/>
      <c r="E4" s="3" t="s">
        <v>25</v>
      </c>
      <c r="F4" s="3" t="s">
        <v>5</v>
      </c>
      <c r="G4" s="3" t="s">
        <v>61</v>
      </c>
      <c r="H4" s="3" t="s">
        <v>9</v>
      </c>
      <c r="I4" s="3"/>
      <c r="J4" s="3" t="s">
        <v>5</v>
      </c>
      <c r="K4" s="3" t="s">
        <v>46</v>
      </c>
      <c r="L4" s="3" t="s">
        <v>84</v>
      </c>
      <c r="M4" s="3" t="s">
        <v>11</v>
      </c>
      <c r="N4" s="3" t="s">
        <v>20</v>
      </c>
      <c r="O4" s="3"/>
      <c r="P4" s="3"/>
      <c r="Q4" s="3"/>
    </row>
    <row r="5" spans="1:17" ht="33" x14ac:dyDescent="0.9">
      <c r="A5" s="10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7" spans="1:17" ht="33" x14ac:dyDescent="0.9">
      <c r="A7" s="1"/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7"/>
    </row>
    <row r="8" spans="1:17" ht="33" x14ac:dyDescent="0.9">
      <c r="A8" s="8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ht="33" x14ac:dyDescent="0.9">
      <c r="A9" s="8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ht="33" x14ac:dyDescent="0.9">
      <c r="A10" s="8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ht="33" x14ac:dyDescent="0.9">
      <c r="A11" s="10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3" spans="1:17" ht="33" x14ac:dyDescent="0.9">
      <c r="A13" s="1"/>
      <c r="B13" s="5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7"/>
    </row>
    <row r="14" spans="1:17" ht="33" x14ac:dyDescent="0.9">
      <c r="A14" s="8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ht="33" x14ac:dyDescent="0.9">
      <c r="A15" s="8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 ht="33" x14ac:dyDescent="0.9">
      <c r="A16" s="8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ht="33" x14ac:dyDescent="0.9">
      <c r="A17" s="10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</sheetData>
  <mergeCells count="3">
    <mergeCell ref="B1:Q1"/>
    <mergeCell ref="B7:Q7"/>
    <mergeCell ref="B13:Q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B4343-B5D4-48EF-8ED0-D7D32BE43CBE}">
  <dimension ref="A1:Q17"/>
  <sheetViews>
    <sheetView topLeftCell="A10" workbookViewId="0">
      <selection activeCell="Q15" sqref="Q15"/>
    </sheetView>
  </sheetViews>
  <sheetFormatPr defaultRowHeight="14.4" x14ac:dyDescent="0.3"/>
  <cols>
    <col min="1" max="1" width="20.77734375" customWidth="1"/>
  </cols>
  <sheetData>
    <row r="1" spans="1:17" ht="33" x14ac:dyDescent="0.9">
      <c r="A1" s="1" t="s">
        <v>0</v>
      </c>
      <c r="B1" s="5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7"/>
    </row>
    <row r="2" spans="1:17" ht="33" x14ac:dyDescent="0.9">
      <c r="A2" s="8" t="s">
        <v>53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ht="33" x14ac:dyDescent="0.9">
      <c r="A3" s="9" t="str">
        <f>UPPER("Đây là một bài thơ được viết bởi nhà thơ kiêm nhạc sĩ Văn Cao?")</f>
        <v>ĐÂY LÀ MỘT BÀI THƠ ĐƯỢC VIẾT BỞI NHÀ THƠ KIÊM NHẠC SĨ VĂN CAO?</v>
      </c>
      <c r="B3" s="3"/>
      <c r="C3" s="3"/>
      <c r="D3" s="3" t="s">
        <v>25</v>
      </c>
      <c r="E3" s="3" t="s">
        <v>5</v>
      </c>
      <c r="F3" s="3" t="s">
        <v>7</v>
      </c>
      <c r="G3" s="3" t="s">
        <v>48</v>
      </c>
      <c r="H3" s="3" t="s">
        <v>25</v>
      </c>
      <c r="I3" s="3"/>
      <c r="J3" s="3" t="s">
        <v>54</v>
      </c>
      <c r="K3" s="3" t="s">
        <v>55</v>
      </c>
      <c r="L3" s="3"/>
      <c r="M3" s="3" t="s">
        <v>54</v>
      </c>
      <c r="N3" s="3" t="s">
        <v>44</v>
      </c>
      <c r="O3" s="3" t="s">
        <v>25</v>
      </c>
      <c r="P3" s="3"/>
      <c r="Q3" s="3"/>
    </row>
    <row r="4" spans="1:17" ht="33" x14ac:dyDescent="0.9">
      <c r="A4" s="8"/>
      <c r="B4" s="3"/>
      <c r="C4" s="3"/>
      <c r="D4" s="3"/>
      <c r="E4" s="3"/>
      <c r="F4" s="3"/>
      <c r="G4" s="3" t="s">
        <v>12</v>
      </c>
      <c r="H4" s="3" t="s">
        <v>7</v>
      </c>
      <c r="I4" s="3"/>
      <c r="J4" s="3" t="s">
        <v>56</v>
      </c>
      <c r="K4" s="3" t="s">
        <v>28</v>
      </c>
      <c r="L4" s="3" t="s">
        <v>9</v>
      </c>
      <c r="M4" s="3"/>
      <c r="N4" s="3"/>
      <c r="O4" s="3"/>
      <c r="P4" s="3"/>
      <c r="Q4" s="3"/>
    </row>
    <row r="5" spans="1:17" ht="33" x14ac:dyDescent="0.9">
      <c r="A5" s="10"/>
      <c r="B5" s="3"/>
      <c r="C5" s="3" t="s">
        <v>57</v>
      </c>
      <c r="D5" s="3" t="s">
        <v>5</v>
      </c>
      <c r="E5" s="3" t="s">
        <v>46</v>
      </c>
      <c r="F5" s="3" t="s">
        <v>47</v>
      </c>
      <c r="G5" s="3" t="s">
        <v>11</v>
      </c>
      <c r="H5" s="3" t="s">
        <v>20</v>
      </c>
      <c r="I5" s="3"/>
      <c r="J5" s="3" t="s">
        <v>18</v>
      </c>
      <c r="K5" s="3" t="s">
        <v>31</v>
      </c>
      <c r="L5" s="3"/>
      <c r="M5" s="3" t="s">
        <v>3</v>
      </c>
      <c r="N5" s="3" t="s">
        <v>31</v>
      </c>
      <c r="O5" s="3" t="s">
        <v>25</v>
      </c>
      <c r="P5" s="3"/>
      <c r="Q5" s="3"/>
    </row>
    <row r="7" spans="1:17" ht="33" x14ac:dyDescent="0.9">
      <c r="A7" s="1" t="s">
        <v>0</v>
      </c>
      <c r="B7" s="5" t="s">
        <v>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7"/>
    </row>
    <row r="8" spans="1:17" ht="33" x14ac:dyDescent="0.9">
      <c r="A8" s="8" t="s">
        <v>74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ht="33" x14ac:dyDescent="0.9">
      <c r="A9" s="9" t="str">
        <f>UPPER("Đây là tên món ăn phổ biến của dân tộc Ba Na vào dịp Tết?")</f>
        <v>ĐÂY LÀ TÊN MÓN ĂN PHỔ BIẾN CỦA DÂN TỘC BA NA VÀO DỊP TẾT?</v>
      </c>
      <c r="B9" s="3"/>
      <c r="C9" s="3"/>
      <c r="D9" s="3"/>
      <c r="E9" s="3"/>
      <c r="F9" s="3" t="s">
        <v>20</v>
      </c>
      <c r="G9" s="3" t="s">
        <v>80</v>
      </c>
      <c r="H9" s="3" t="s">
        <v>7</v>
      </c>
      <c r="I9" s="3"/>
      <c r="J9" s="3" t="s">
        <v>8</v>
      </c>
      <c r="K9" s="3" t="s">
        <v>7</v>
      </c>
      <c r="L9" s="3" t="s">
        <v>48</v>
      </c>
      <c r="M9" s="3" t="s">
        <v>11</v>
      </c>
      <c r="N9" s="3"/>
      <c r="O9" s="3"/>
      <c r="P9" s="3"/>
      <c r="Q9" s="3"/>
    </row>
    <row r="10" spans="1:17" ht="33" x14ac:dyDescent="0.9">
      <c r="A10" s="8"/>
      <c r="B10" s="3"/>
      <c r="C10" s="3"/>
      <c r="D10" s="3"/>
      <c r="E10" s="3"/>
      <c r="F10" s="3" t="s">
        <v>37</v>
      </c>
      <c r="G10" s="3" t="s">
        <v>65</v>
      </c>
      <c r="H10" s="3" t="s">
        <v>57</v>
      </c>
      <c r="I10" s="3"/>
      <c r="J10" s="3" t="s">
        <v>25</v>
      </c>
      <c r="K10" s="3" t="s">
        <v>5</v>
      </c>
      <c r="L10" s="3" t="s">
        <v>28</v>
      </c>
      <c r="M10" s="3" t="s">
        <v>9</v>
      </c>
      <c r="N10" s="3"/>
      <c r="O10" s="3"/>
      <c r="P10" s="3"/>
      <c r="Q10" s="3"/>
    </row>
    <row r="11" spans="1:17" ht="33" x14ac:dyDescent="0.9">
      <c r="A11" s="10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3" spans="1:17" ht="33" x14ac:dyDescent="0.9">
      <c r="A13" s="1" t="s">
        <v>0</v>
      </c>
      <c r="B13" s="5" t="s">
        <v>1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7"/>
    </row>
    <row r="14" spans="1:17" ht="33" x14ac:dyDescent="0.9">
      <c r="A14" s="8" t="s">
        <v>81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ht="33" x14ac:dyDescent="0.9">
      <c r="A15" s="9" t="str">
        <f>UPPER("Đây là cách gọi khác của Tết Nguyên đán tại Mông Cổ?")</f>
        <v>ĐÂY LÀ CÁCH GỌI KHÁC CỦA TẾT NGUYÊN ĐÁN TẠI MÔNG CỔ?</v>
      </c>
      <c r="B15" s="3" t="s">
        <v>14</v>
      </c>
      <c r="C15" s="3" t="s">
        <v>48</v>
      </c>
      <c r="D15" s="3" t="s">
        <v>14</v>
      </c>
      <c r="E15" s="3"/>
      <c r="F15" s="3" t="s">
        <v>14</v>
      </c>
      <c r="G15" s="3" t="s">
        <v>15</v>
      </c>
      <c r="H15" s="3" t="s">
        <v>82</v>
      </c>
      <c r="I15" s="3" t="s">
        <v>11</v>
      </c>
      <c r="J15" s="3" t="s">
        <v>20</v>
      </c>
      <c r="K15" s="3"/>
      <c r="L15" s="3" t="s">
        <v>14</v>
      </c>
      <c r="M15" s="3" t="s">
        <v>15</v>
      </c>
      <c r="N15" s="3" t="s">
        <v>49</v>
      </c>
      <c r="O15" s="3" t="s">
        <v>11</v>
      </c>
      <c r="P15" s="3" t="s">
        <v>20</v>
      </c>
      <c r="Q15" s="3"/>
    </row>
    <row r="16" spans="1:17" ht="33" x14ac:dyDescent="0.9">
      <c r="A16" s="8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ht="33" x14ac:dyDescent="0.9">
      <c r="A17" s="10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</sheetData>
  <mergeCells count="3">
    <mergeCell ref="B1:Q1"/>
    <mergeCell ref="B7:Q7"/>
    <mergeCell ref="B13:Q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Đoán nhanh 1</vt:lpstr>
      <vt:lpstr>Đoán nhanh 2</vt:lpstr>
      <vt:lpstr>Vòng 1</vt:lpstr>
      <vt:lpstr>Vòng 2</vt:lpstr>
      <vt:lpstr>Vòng 3</vt:lpstr>
      <vt:lpstr>ĐNLH</vt:lpstr>
      <vt:lpstr>Vòng 4</vt:lpstr>
      <vt:lpstr>Khán giả</vt:lpstr>
      <vt:lpstr>Đặc biệt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Thế Tài</dc:creator>
  <cp:lastModifiedBy>Nguyễn Thế Tài</cp:lastModifiedBy>
  <dcterms:created xsi:type="dcterms:W3CDTF">2026-09-13T06:02:03Z</dcterms:created>
  <dcterms:modified xsi:type="dcterms:W3CDTF">2026-09-14T02:24:34Z</dcterms:modified>
</cp:coreProperties>
</file>